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桌面\Python\939\"/>
    </mc:Choice>
  </mc:AlternateContent>
  <xr:revisionPtr revIDLastSave="0" documentId="13_ncr:1_{4663C024-A2C4-4261-A46C-4323277E04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定投" sheetId="1" r:id="rId1"/>
  </sheets>
  <calcPr calcId="191029" calcMode="autoNoTable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1" l="1"/>
  <c r="K14" i="1"/>
  <c r="J15" i="1" s="1"/>
  <c r="J14" i="1"/>
  <c r="I15" i="1"/>
  <c r="I14" i="1"/>
  <c r="K13" i="1"/>
  <c r="J13" i="1"/>
  <c r="I13" i="1"/>
  <c r="B13" i="1"/>
  <c r="B4" i="1"/>
  <c r="B11" i="1"/>
  <c r="B12" i="1" s="1"/>
  <c r="J10" i="1"/>
  <c r="I10" i="1"/>
  <c r="I11" i="1" s="1"/>
  <c r="I12" i="1" s="1"/>
  <c r="K10" i="1" l="1"/>
  <c r="J11" i="1" s="1"/>
  <c r="K11" i="1" s="1"/>
  <c r="J12" i="1" s="1"/>
  <c r="B3" i="1" l="1"/>
  <c r="I4" i="1"/>
  <c r="I5" i="1" s="1"/>
  <c r="B2" i="1" s="1"/>
  <c r="K12" i="1"/>
  <c r="B5" i="1" l="1"/>
  <c r="B7" i="1" s="1"/>
  <c r="I6" i="1"/>
  <c r="B6" i="1" l="1"/>
  <c r="I2" i="1"/>
  <c r="M2" i="1" l="1"/>
  <c r="M4" i="1"/>
  <c r="M5" i="1"/>
  <c r="M6" i="1"/>
  <c r="M7" i="1"/>
  <c r="M3" i="1"/>
</calcChain>
</file>

<file path=xl/sharedStrings.xml><?xml version="1.0" encoding="utf-8"?>
<sst xmlns="http://schemas.openxmlformats.org/spreadsheetml/2006/main" count="39" uniqueCount="34">
  <si>
    <t>日期</t>
    <phoneticPr fontId="3" type="noConversion"/>
  </si>
  <si>
    <t>939 建設銀行</t>
    <phoneticPr fontId="3" type="noConversion"/>
  </si>
  <si>
    <t>固定月供金額
(隨收息遞增)</t>
    <phoneticPr fontId="3" type="noConversion"/>
  </si>
  <si>
    <t>月供買入股數</t>
    <phoneticPr fontId="3" type="noConversion"/>
  </si>
  <si>
    <t>月供買入價</t>
    <phoneticPr fontId="3" type="noConversion"/>
  </si>
  <si>
    <t>收取股息現金</t>
    <phoneticPr fontId="3" type="noConversion"/>
  </si>
  <si>
    <t>合共手續費</t>
    <phoneticPr fontId="3" type="noConversion"/>
  </si>
  <si>
    <t>總股數</t>
    <phoneticPr fontId="3" type="noConversion"/>
  </si>
  <si>
    <t>平均價</t>
    <phoneticPr fontId="3" type="noConversion"/>
  </si>
  <si>
    <t>模擬</t>
    <phoneticPr fontId="3" type="noConversion"/>
  </si>
  <si>
    <t>總收取股息︰</t>
    <phoneticPr fontId="3" type="noConversion"/>
  </si>
  <si>
    <t>預測每年總收息︰</t>
    <phoneticPr fontId="3" type="noConversion"/>
  </si>
  <si>
    <t>預測每月現金流︰</t>
    <phoneticPr fontId="3" type="noConversion"/>
  </si>
  <si>
    <t>持倉平均價︰</t>
    <phoneticPr fontId="3" type="noConversion"/>
  </si>
  <si>
    <t>成本息率 YOC︰</t>
    <phoneticPr fontId="3" type="noConversion"/>
  </si>
  <si>
    <t>總回報︰</t>
    <phoneticPr fontId="3" type="noConversion"/>
  </si>
  <si>
    <t>總投入本金︰</t>
    <phoneticPr fontId="3" type="noConversion"/>
  </si>
  <si>
    <t>現股價︰</t>
    <phoneticPr fontId="3" type="noConversion"/>
  </si>
  <si>
    <t>永動機進度條 (%)</t>
    <phoneticPr fontId="3" type="noConversion"/>
  </si>
  <si>
    <t>現時持股總量︰</t>
    <phoneticPr fontId="3" type="noConversion"/>
  </si>
  <si>
    <t>[ ] 達成 100,000 股（十萬大軍）</t>
    <phoneticPr fontId="3" type="noConversion"/>
  </si>
  <si>
    <t>[ ] 達成 600,000 股（終極永動機）</t>
    <phoneticPr fontId="3" type="noConversion"/>
  </si>
  <si>
    <t>成就欄</t>
    <phoneticPr fontId="3" type="noConversion"/>
  </si>
  <si>
    <t>心血來潮加碼
股數</t>
    <phoneticPr fontId="3" type="noConversion"/>
  </si>
  <si>
    <t>心血來潮加碼
買入價</t>
    <phoneticPr fontId="3" type="noConversion"/>
  </si>
  <si>
    <t>累計投入總值
(港幣)</t>
    <phoneticPr fontId="3" type="noConversion"/>
  </si>
  <si>
    <t>備註事項</t>
    <phoneticPr fontId="3" type="noConversion"/>
  </si>
  <si>
    <t>稅率︰</t>
    <phoneticPr fontId="3" type="noConversion"/>
  </si>
  <si>
    <t>[ ] 達成 1,000,000 股（財務自由登頂）</t>
    <phoneticPr fontId="3" type="noConversion"/>
  </si>
  <si>
    <t>[ ] 達成 800,000 股（自由之翼）</t>
    <phoneticPr fontId="3" type="noConversion"/>
  </si>
  <si>
    <t>[ ] 達成 400,000 股（中產教父）</t>
    <phoneticPr fontId="3" type="noConversion"/>
  </si>
  <si>
    <t>[ ] 達成 250,000 股（鋼鐵防線）</t>
    <phoneticPr fontId="3" type="noConversion"/>
  </si>
  <si>
    <t>年派息︰</t>
    <phoneticPr fontId="3" type="noConversion"/>
  </si>
  <si>
    <t>中銀信用咭月供計劃 (939建銀) (2027-01開始)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</si>
</sst>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\ \(aaa\)"/>
    <numFmt numFmtId="177" formatCode="0&quot;股&quot;"/>
    <numFmt numFmtId="178" formatCode="[$$-404]#,##0.00_);[Red]\([$$-404]#,##0.00\)"/>
    <numFmt numFmtId="179" formatCode="0.00_ "/>
    <numFmt numFmtId="180" formatCode="0.00000%"/>
  </numFmts>
  <fonts count="1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0"/>
      <name val="微軟正黑體"/>
      <family val="2"/>
      <charset val="136"/>
    </font>
    <font>
      <b/>
      <sz val="20"/>
      <color theme="0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6"/>
      <color theme="1"/>
      <name val="新細明體"/>
      <family val="2"/>
      <charset val="136"/>
      <scheme val="minor"/>
    </font>
    <font>
      <b/>
      <sz val="30"/>
      <color theme="0"/>
      <name val="微軟正黑體"/>
      <family val="2"/>
      <charset val="136"/>
    </font>
    <font>
      <sz val="12"/>
      <color theme="1"/>
      <name val="Tahoma"/>
      <family val="2"/>
    </font>
    <font>
      <b/>
      <sz val="21"/>
      <color theme="1"/>
      <name val="微軟正黑體"/>
      <family val="2"/>
      <charset val="136"/>
    </font>
    <font>
      <b/>
      <sz val="4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26"/>
      <color theme="0"/>
      <name val="微軟正黑體"/>
      <family val="2"/>
      <charset val="136"/>
    </font>
    <font>
      <b/>
      <sz val="24"/>
      <color theme="1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rgb="FF3333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2" fontId="11" fillId="0" borderId="0" xfId="0" applyNumberFormat="1" applyFont="1">
      <alignment vertical="center"/>
    </xf>
    <xf numFmtId="0" fontId="11" fillId="0" borderId="0" xfId="0" quotePrefix="1" applyFont="1">
      <alignment vertical="center"/>
    </xf>
    <xf numFmtId="9" fontId="11" fillId="0" borderId="0" xfId="1" applyFont="1">
      <alignment vertical="center"/>
    </xf>
    <xf numFmtId="179" fontId="11" fillId="0" borderId="0" xfId="0" applyNumberFormat="1" applyFont="1">
      <alignment vertical="center"/>
    </xf>
    <xf numFmtId="180" fontId="11" fillId="0" borderId="0" xfId="1" applyNumberFormat="1" applyFont="1">
      <alignment vertical="center"/>
    </xf>
    <xf numFmtId="0" fontId="2" fillId="0" borderId="0" xfId="0" applyFont="1">
      <alignment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9" fontId="2" fillId="0" borderId="0" xfId="1" quotePrefix="1" applyFont="1">
      <alignment vertical="center"/>
    </xf>
    <xf numFmtId="176" fontId="12" fillId="3" borderId="2" xfId="0" applyNumberFormat="1" applyFont="1" applyFill="1" applyBorder="1" applyAlignment="1">
      <alignment vertical="center" wrapText="1"/>
    </xf>
    <xf numFmtId="178" fontId="8" fillId="3" borderId="3" xfId="0" applyNumberFormat="1" applyFont="1" applyFill="1" applyBorder="1" applyAlignment="1">
      <alignment horizontal="left" vertical="center" wrapText="1" indent="1"/>
    </xf>
    <xf numFmtId="176" fontId="12" fillId="3" borderId="6" xfId="0" applyNumberFormat="1" applyFont="1" applyFill="1" applyBorder="1" applyAlignment="1">
      <alignment vertical="center" wrapText="1"/>
    </xf>
    <xf numFmtId="178" fontId="12" fillId="3" borderId="2" xfId="0" applyNumberFormat="1" applyFont="1" applyFill="1" applyBorder="1" applyAlignment="1">
      <alignment vertical="center" wrapText="1"/>
    </xf>
    <xf numFmtId="9" fontId="7" fillId="3" borderId="3" xfId="1" applyFont="1" applyFill="1" applyBorder="1" applyAlignment="1">
      <alignment horizontal="left" vertical="center" wrapText="1"/>
    </xf>
    <xf numFmtId="9" fontId="7" fillId="3" borderId="4" xfId="1" applyFont="1" applyFill="1" applyBorder="1" applyAlignment="1">
      <alignment horizontal="left" vertical="center" wrapText="1"/>
    </xf>
    <xf numFmtId="0" fontId="1" fillId="0" borderId="0" xfId="0" applyFont="1">
      <alignment vertical="center"/>
    </xf>
    <xf numFmtId="176" fontId="1" fillId="4" borderId="2" xfId="0" applyNumberFormat="1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77" fontId="1" fillId="0" borderId="2" xfId="1" quotePrefix="1" applyNumberFormat="1" applyFont="1" applyBorder="1" applyAlignment="1">
      <alignment horizontal="center" vertical="center"/>
    </xf>
    <xf numFmtId="177" fontId="1" fillId="7" borderId="2" xfId="0" applyNumberFormat="1" applyFont="1" applyFill="1" applyBorder="1" applyAlignment="1">
      <alignment horizontal="center" vertical="center"/>
    </xf>
    <xf numFmtId="2" fontId="1" fillId="7" borderId="2" xfId="0" applyNumberFormat="1" applyFont="1" applyFill="1" applyBorder="1" applyAlignment="1">
      <alignment horizontal="center" vertical="center"/>
    </xf>
    <xf numFmtId="0" fontId="1" fillId="8" borderId="0" xfId="0" applyFont="1" applyFill="1">
      <alignment vertical="center"/>
    </xf>
    <xf numFmtId="177" fontId="1" fillId="0" borderId="2" xfId="1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0" borderId="8" xfId="0" applyFont="1" applyBorder="1">
      <alignment vertical="center"/>
    </xf>
    <xf numFmtId="0" fontId="15" fillId="2" borderId="8" xfId="0" applyFont="1" applyFill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center" vertical="center"/>
    </xf>
    <xf numFmtId="10" fontId="16" fillId="3" borderId="2" xfId="1" applyNumberFormat="1" applyFont="1" applyFill="1" applyBorder="1" applyAlignment="1">
      <alignment horizontal="center" vertical="center" wrapText="1"/>
    </xf>
    <xf numFmtId="178" fontId="8" fillId="3" borderId="3" xfId="0" applyNumberFormat="1" applyFont="1" applyFill="1" applyBorder="1" applyAlignment="1">
      <alignment horizontal="left" vertical="center" wrapText="1"/>
    </xf>
    <xf numFmtId="176" fontId="13" fillId="5" borderId="6" xfId="0" applyNumberFormat="1" applyFont="1" applyFill="1" applyBorder="1" applyAlignment="1">
      <alignment horizontal="center" vertical="center"/>
    </xf>
    <xf numFmtId="176" fontId="13" fillId="5" borderId="7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178" fontId="8" fillId="3" borderId="3" xfId="0" applyNumberFormat="1" applyFont="1" applyFill="1" applyBorder="1" applyAlignment="1">
      <alignment horizontal="left" vertical="center" wrapText="1" indent="1"/>
    </xf>
    <xf numFmtId="178" fontId="8" fillId="3" borderId="4" xfId="0" applyNumberFormat="1" applyFont="1" applyFill="1" applyBorder="1" applyAlignment="1">
      <alignment horizontal="left" vertical="center" wrapText="1" indent="1"/>
    </xf>
    <xf numFmtId="178" fontId="8" fillId="3" borderId="5" xfId="0" applyNumberFormat="1" applyFont="1" applyFill="1" applyBorder="1" applyAlignment="1">
      <alignment horizontal="left" vertical="center" wrapText="1" indent="1"/>
    </xf>
    <xf numFmtId="178" fontId="12" fillId="3" borderId="3" xfId="0" applyNumberFormat="1" applyFont="1" applyFill="1" applyBorder="1" applyAlignment="1">
      <alignment horizontal="left" vertical="center" wrapText="1"/>
    </xf>
    <xf numFmtId="178" fontId="12" fillId="3" borderId="5" xfId="0" applyNumberFormat="1" applyFont="1" applyFill="1" applyBorder="1" applyAlignment="1">
      <alignment horizontal="left" vertical="center" wrapText="1"/>
    </xf>
    <xf numFmtId="10" fontId="8" fillId="3" borderId="3" xfId="1" applyNumberFormat="1" applyFont="1" applyFill="1" applyBorder="1" applyAlignment="1">
      <alignment horizontal="left" vertical="center" wrapText="1" indent="1"/>
    </xf>
    <xf numFmtId="10" fontId="8" fillId="3" borderId="4" xfId="1" applyNumberFormat="1" applyFont="1" applyFill="1" applyBorder="1" applyAlignment="1">
      <alignment horizontal="left" vertical="center" wrapText="1" indent="1"/>
    </xf>
    <xf numFmtId="178" fontId="12" fillId="3" borderId="4" xfId="0" applyNumberFormat="1" applyFont="1" applyFill="1" applyBorder="1" applyAlignment="1">
      <alignment horizontal="left" vertical="center" wrapText="1"/>
    </xf>
    <xf numFmtId="176" fontId="10" fillId="2" borderId="3" xfId="0" applyNumberFormat="1" applyFont="1" applyFill="1" applyBorder="1" applyAlignment="1">
      <alignment horizontal="center" vertical="center" wrapText="1"/>
    </xf>
    <xf numFmtId="176" fontId="10" fillId="2" borderId="4" xfId="0" applyNumberFormat="1" applyFont="1" applyFill="1" applyBorder="1" applyAlignment="1">
      <alignment horizontal="center" vertical="center" wrapText="1"/>
    </xf>
    <xf numFmtId="9" fontId="8" fillId="3" borderId="3" xfId="1" applyFont="1" applyFill="1" applyBorder="1" applyAlignment="1">
      <alignment horizontal="left" vertical="center" wrapText="1" indent="1"/>
    </xf>
    <xf numFmtId="9" fontId="8" fillId="3" borderId="4" xfId="1" applyFont="1" applyFill="1" applyBorder="1" applyAlignment="1">
      <alignment horizontal="left" vertical="center" wrapText="1" indent="1"/>
    </xf>
    <xf numFmtId="9" fontId="8" fillId="3" borderId="5" xfId="1" applyFont="1" applyFill="1" applyBorder="1" applyAlignment="1">
      <alignment horizontal="left" vertical="center" wrapText="1" indent="1"/>
    </xf>
    <xf numFmtId="9" fontId="7" fillId="3" borderId="3" xfId="1" applyFont="1" applyFill="1" applyBorder="1" applyAlignment="1">
      <alignment horizontal="left" vertical="center" wrapText="1"/>
    </xf>
    <xf numFmtId="9" fontId="7" fillId="3" borderId="4" xfId="1" applyFont="1" applyFill="1" applyBorder="1" applyAlignment="1">
      <alignment horizontal="left" vertical="center" wrapText="1"/>
    </xf>
    <xf numFmtId="177" fontId="8" fillId="3" borderId="3" xfId="0" applyNumberFormat="1" applyFont="1" applyFill="1" applyBorder="1" applyAlignment="1">
      <alignment horizontal="left" vertical="center" indent="1"/>
    </xf>
    <xf numFmtId="177" fontId="8" fillId="3" borderId="4" xfId="0" applyNumberFormat="1" applyFont="1" applyFill="1" applyBorder="1" applyAlignment="1">
      <alignment horizontal="left" vertical="center" indent="1"/>
    </xf>
    <xf numFmtId="177" fontId="8" fillId="3" borderId="5" xfId="0" applyNumberFormat="1" applyFont="1" applyFill="1" applyBorder="1" applyAlignment="1">
      <alignment horizontal="left" vertical="center" indent="1"/>
    </xf>
  </cellXfs>
  <cellStyles count="2">
    <cellStyle name="一般" xfId="0" builtinId="0"/>
    <cellStyle name="百分比" xfId="1" builtinId="5"/>
  </cellStyles>
  <dxfs count="10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00B050"/>
        </patternFill>
      </fill>
    </dxf>
    <dxf>
      <font>
        <b val="0"/>
        <i val="0"/>
        <color rgb="FFFF0000"/>
      </font>
    </dxf>
    <dxf>
      <font>
        <b/>
        <i/>
        <color rgb="FF00B050"/>
      </font>
    </dxf>
    <dxf>
      <font>
        <b val="0"/>
        <i val="0"/>
        <color rgb="FFFF0000"/>
      </font>
    </dxf>
    <dxf>
      <font>
        <b/>
        <i/>
        <color rgb="FF00B050"/>
      </font>
    </dxf>
  </dxfs>
  <tableStyles count="0" defaultTableStyle="TableStyleMedium2" defaultPivotStyle="PivotStyleLight16"/>
  <colors>
    <mruColors>
      <color rgb="FFFF9933"/>
      <color rgb="FFFF5050"/>
      <color rgb="FF3333FF"/>
      <color rgb="FF9933FF"/>
      <color rgb="FF3333CC"/>
      <color rgb="FFFF8181"/>
      <color rgb="FF6699FF"/>
      <color rgb="FF0000FF"/>
      <color rgb="FFFF7C8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tabSelected="1" zoomScale="85" zoomScaleNormal="85" workbookViewId="0">
      <pane ySplit="9" topLeftCell="A10" activePane="bottomLeft" state="frozen"/>
      <selection pane="bottomLeft" activeCell="K15" sqref="K15"/>
    </sheetView>
  </sheetViews>
  <sheetFormatPr defaultRowHeight="17.25" thickBottom="1" x14ac:dyDescent="0.3"/>
  <cols>
    <col min="1" max="1" width="30.625" style="26" customWidth="1"/>
    <col min="2" max="11" width="15.625" style="27" customWidth="1"/>
    <col min="12" max="12" width="41.625" style="18" customWidth="1"/>
    <col min="13" max="13" width="19.75" style="18" customWidth="1"/>
    <col min="14" max="14" width="9" style="8"/>
    <col min="15" max="16" width="9.5" style="2" bestFit="1" customWidth="1"/>
    <col min="17" max="17" width="9" style="2"/>
  </cols>
  <sheetData>
    <row r="1" spans="1:18" ht="60" customHeight="1" thickBot="1" x14ac:dyDescent="0.3">
      <c r="A1" s="46" t="s">
        <v>33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29" t="s">
        <v>22</v>
      </c>
    </row>
    <row r="2" spans="1:18" ht="39.950000000000003" customHeight="1" thickBot="1" x14ac:dyDescent="0.3">
      <c r="A2" s="12" t="s">
        <v>18</v>
      </c>
      <c r="B2" s="48">
        <f>(I5/15000)*100%</f>
        <v>2.0126666666666668E-2</v>
      </c>
      <c r="C2" s="49"/>
      <c r="D2" s="49"/>
      <c r="E2" s="49"/>
      <c r="F2" s="49"/>
      <c r="G2" s="49"/>
      <c r="H2" s="50"/>
      <c r="I2" s="51" t="str">
        <f>IF(B2&gt;=1, "達成財務自由！", "加油！仲有 " &amp; TEXT(1-B2, "0%") &amp; " 就供完喇")</f>
        <v>加油！仲有 98% 就供完喇</v>
      </c>
      <c r="J2" s="52"/>
      <c r="K2" s="52"/>
      <c r="L2" s="28" t="s">
        <v>20</v>
      </c>
      <c r="M2" s="18" t="str">
        <f>IF(B3 &gt;= 100000, "✅ 已達成！", "⏳ 努力中...")</f>
        <v>⏳ 努力中...</v>
      </c>
    </row>
    <row r="3" spans="1:18" ht="39.950000000000003" customHeight="1" thickBot="1" x14ac:dyDescent="0.3">
      <c r="A3" s="12" t="s">
        <v>19</v>
      </c>
      <c r="B3" s="53">
        <f>LOOKUP(9.99999999999999E+307,I:I )</f>
        <v>9057</v>
      </c>
      <c r="C3" s="54"/>
      <c r="D3" s="54"/>
      <c r="E3" s="54"/>
      <c r="F3" s="54"/>
      <c r="G3" s="54"/>
      <c r="H3" s="55"/>
      <c r="I3" s="16"/>
      <c r="J3" s="17"/>
      <c r="K3" s="17"/>
      <c r="L3" s="28" t="s">
        <v>31</v>
      </c>
      <c r="M3" s="18" t="str">
        <f>IF(B3 &gt;= 250000, "✅ 已達成！", "⏳ 努力中...")</f>
        <v>⏳ 努力中...</v>
      </c>
    </row>
    <row r="4" spans="1:18" s="1" customFormat="1" ht="39.950000000000003" customHeight="1" thickBot="1" x14ac:dyDescent="0.3">
      <c r="A4" s="12" t="s">
        <v>10</v>
      </c>
      <c r="B4" s="38">
        <f>SUM(G10:G1004)</f>
        <v>0</v>
      </c>
      <c r="C4" s="39"/>
      <c r="D4" s="39"/>
      <c r="E4" s="39"/>
      <c r="F4" s="40"/>
      <c r="G4" s="41" t="s">
        <v>11</v>
      </c>
      <c r="H4" s="42"/>
      <c r="I4" s="38">
        <f>LOOKUP(9.99999999999999E+307,I:I )*K7</f>
        <v>3622.8</v>
      </c>
      <c r="J4" s="39"/>
      <c r="K4" s="39"/>
      <c r="L4" s="28" t="s">
        <v>30</v>
      </c>
      <c r="M4" s="18" t="str">
        <f>IF(B3 &gt;= 400000, "✅ 已達成！", "⏳ 努力中...")</f>
        <v>⏳ 努力中...</v>
      </c>
      <c r="N4" s="8"/>
      <c r="O4" s="2"/>
      <c r="P4" s="2"/>
      <c r="Q4" s="2"/>
      <c r="R4"/>
    </row>
    <row r="5" spans="1:18" s="1" customFormat="1" ht="39.950000000000003" customHeight="1" thickBot="1" x14ac:dyDescent="0.3">
      <c r="A5" s="12" t="s">
        <v>16</v>
      </c>
      <c r="B5" s="38">
        <f>LOOKUP(9.99999999999999E+307,K:K )</f>
        <v>66229.899999999994</v>
      </c>
      <c r="C5" s="39"/>
      <c r="D5" s="39"/>
      <c r="E5" s="39"/>
      <c r="F5" s="40"/>
      <c r="G5" s="41" t="s">
        <v>12</v>
      </c>
      <c r="H5" s="42"/>
      <c r="I5" s="38">
        <f>I4/12</f>
        <v>301.90000000000003</v>
      </c>
      <c r="J5" s="39"/>
      <c r="K5" s="40"/>
      <c r="L5" s="28" t="s">
        <v>21</v>
      </c>
      <c r="M5" s="18" t="str">
        <f>IF(B3 &gt;= 600000, "✅ 已達成！", "⏳ 努力中...")</f>
        <v>⏳ 努力中...</v>
      </c>
      <c r="N5" s="8"/>
      <c r="O5" s="2"/>
      <c r="P5" s="2"/>
      <c r="Q5" s="2"/>
      <c r="R5"/>
    </row>
    <row r="6" spans="1:18" s="1" customFormat="1" ht="39.950000000000003" customHeight="1" thickBot="1" x14ac:dyDescent="0.3">
      <c r="A6" s="14" t="s">
        <v>14</v>
      </c>
      <c r="B6" s="43">
        <f>B4/B5</f>
        <v>0</v>
      </c>
      <c r="C6" s="44"/>
      <c r="D6" s="44"/>
      <c r="E6" s="44"/>
      <c r="F6" s="44"/>
      <c r="G6" s="41" t="s">
        <v>13</v>
      </c>
      <c r="H6" s="42"/>
      <c r="I6" s="13">
        <f>LOOKUP(MAX(J:J)+1,J:J)</f>
        <v>7.3125648669537364</v>
      </c>
      <c r="J6" s="15" t="s">
        <v>27</v>
      </c>
      <c r="K6" s="31">
        <v>0.1</v>
      </c>
      <c r="L6" s="28" t="s">
        <v>29</v>
      </c>
      <c r="M6" s="18" t="str">
        <f>IF(B3 &gt;= 800000, "✅ 已達成！", "⏳ 努力中...")</f>
        <v>⏳ 努力中...</v>
      </c>
      <c r="N6" s="8"/>
      <c r="O6" s="2"/>
      <c r="P6" s="2"/>
      <c r="Q6" s="2"/>
      <c r="R6"/>
    </row>
    <row r="7" spans="1:18" s="1" customFormat="1" ht="39.950000000000003" customHeight="1" thickBot="1" x14ac:dyDescent="0.3">
      <c r="A7" s="14" t="s">
        <v>15</v>
      </c>
      <c r="B7" s="38">
        <f>(LOOKUP(9.99999999999999E+307,I:I )*I7)+B4-B5</f>
        <v>10754.600000000006</v>
      </c>
      <c r="C7" s="39"/>
      <c r="D7" s="39"/>
      <c r="E7" s="39"/>
      <c r="F7" s="40"/>
      <c r="G7" s="41" t="s">
        <v>17</v>
      </c>
      <c r="H7" s="45"/>
      <c r="I7" s="13">
        <v>8.5</v>
      </c>
      <c r="J7" s="15" t="s">
        <v>32</v>
      </c>
      <c r="K7" s="32">
        <v>0.4</v>
      </c>
      <c r="L7" s="28" t="s">
        <v>28</v>
      </c>
      <c r="M7" s="18" t="str">
        <f>IF(B3 &gt;= 1000000, "✅ 已達成！", "⏳ 努力中...")</f>
        <v>⏳ 努力中...</v>
      </c>
      <c r="N7" s="8"/>
      <c r="O7" s="2"/>
      <c r="P7" s="2"/>
      <c r="Q7" s="2"/>
      <c r="R7"/>
    </row>
    <row r="8" spans="1:18" ht="33" customHeight="1" thickBot="1" x14ac:dyDescent="0.3">
      <c r="A8" s="33" t="s">
        <v>0</v>
      </c>
      <c r="B8" s="35" t="s">
        <v>1</v>
      </c>
      <c r="C8" s="36"/>
      <c r="D8" s="36"/>
      <c r="E8" s="36"/>
      <c r="F8" s="36"/>
      <c r="G8" s="36"/>
      <c r="H8" s="36"/>
      <c r="I8" s="36"/>
      <c r="J8" s="36"/>
      <c r="K8" s="37"/>
    </row>
    <row r="9" spans="1:18" ht="36" customHeight="1" thickBot="1" x14ac:dyDescent="0.3">
      <c r="A9" s="34"/>
      <c r="B9" s="9" t="s">
        <v>2</v>
      </c>
      <c r="C9" s="9" t="s">
        <v>23</v>
      </c>
      <c r="D9" s="9" t="s">
        <v>24</v>
      </c>
      <c r="E9" s="10" t="s">
        <v>3</v>
      </c>
      <c r="F9" s="10" t="s">
        <v>4</v>
      </c>
      <c r="G9" s="9" t="s">
        <v>5</v>
      </c>
      <c r="H9" s="9" t="s">
        <v>6</v>
      </c>
      <c r="I9" s="9" t="s">
        <v>7</v>
      </c>
      <c r="J9" s="9" t="s">
        <v>8</v>
      </c>
      <c r="K9" s="9" t="s">
        <v>25</v>
      </c>
      <c r="L9" s="29" t="s">
        <v>26</v>
      </c>
    </row>
    <row r="10" spans="1:18" thickBot="1" x14ac:dyDescent="0.3">
      <c r="A10" s="19">
        <v>46397</v>
      </c>
      <c r="B10" s="30">
        <v>16500</v>
      </c>
      <c r="C10" s="21">
        <v>0</v>
      </c>
      <c r="D10" s="20">
        <v>0</v>
      </c>
      <c r="E10" s="21">
        <v>2012</v>
      </c>
      <c r="F10" s="20">
        <v>8.1999999999999993</v>
      </c>
      <c r="G10" s="20">
        <v>0</v>
      </c>
      <c r="H10" s="20">
        <v>0</v>
      </c>
      <c r="I10" s="22">
        <f>E10</f>
        <v>2012</v>
      </c>
      <c r="J10" s="23">
        <f>(E10*F10-H10)/E10</f>
        <v>8.1999999999999993</v>
      </c>
      <c r="K10" s="23">
        <f>J10*I10</f>
        <v>16498.399999999998</v>
      </c>
      <c r="L10" s="24" t="s">
        <v>9</v>
      </c>
    </row>
    <row r="11" spans="1:18" thickBot="1" x14ac:dyDescent="0.3">
      <c r="A11" s="19">
        <v>46428</v>
      </c>
      <c r="B11" s="30">
        <f>B10+CEILING(G10/6,500)</f>
        <v>16500</v>
      </c>
      <c r="C11" s="21">
        <v>0</v>
      </c>
      <c r="D11" s="20">
        <v>0</v>
      </c>
      <c r="E11" s="21">
        <v>1333</v>
      </c>
      <c r="F11" s="20">
        <v>7.5</v>
      </c>
      <c r="G11" s="20">
        <v>0</v>
      </c>
      <c r="H11" s="20">
        <v>50</v>
      </c>
      <c r="I11" s="22">
        <f>I10+E11+C11</f>
        <v>3345</v>
      </c>
      <c r="J11" s="23">
        <f>(K10+(E11*F11+C11*D11-H11))/I11</f>
        <v>7.9060986547085195</v>
      </c>
      <c r="K11" s="23">
        <f>J11*I11</f>
        <v>26445.899999999998</v>
      </c>
      <c r="L11" s="24" t="s">
        <v>9</v>
      </c>
    </row>
    <row r="12" spans="1:18" thickBot="1" x14ac:dyDescent="0.3">
      <c r="A12" s="19">
        <v>46456</v>
      </c>
      <c r="B12" s="30">
        <f t="shared" ref="B12:B13" si="0">B11+CEILING(G11/6,500)</f>
        <v>16500</v>
      </c>
      <c r="C12" s="21">
        <v>0</v>
      </c>
      <c r="D12" s="20">
        <v>0</v>
      </c>
      <c r="E12" s="25">
        <v>1428</v>
      </c>
      <c r="F12" s="20">
        <v>7</v>
      </c>
      <c r="G12" s="20">
        <v>0</v>
      </c>
      <c r="H12" s="20">
        <v>50</v>
      </c>
      <c r="I12" s="22">
        <f t="shared" ref="I12:I15" si="1">I11+E12+C12</f>
        <v>4773</v>
      </c>
      <c r="J12" s="23">
        <f t="shared" ref="J12:J15" si="2">(K11+(E12*F12+C12*D12-H12))/I12</f>
        <v>7.6245338361617421</v>
      </c>
      <c r="K12" s="23">
        <f t="shared" ref="K12:K15" si="3">J12*I12</f>
        <v>36391.899999999994</v>
      </c>
      <c r="L12" s="24" t="s">
        <v>9</v>
      </c>
    </row>
    <row r="13" spans="1:18" thickBot="1" x14ac:dyDescent="0.3">
      <c r="A13" s="19">
        <v>46487</v>
      </c>
      <c r="B13" s="30">
        <f t="shared" si="0"/>
        <v>16500</v>
      </c>
      <c r="C13" s="21">
        <v>0</v>
      </c>
      <c r="D13" s="20">
        <v>0</v>
      </c>
      <c r="E13" s="25">
        <v>1428</v>
      </c>
      <c r="F13" s="20">
        <v>7</v>
      </c>
      <c r="G13" s="20">
        <v>0</v>
      </c>
      <c r="H13" s="20">
        <v>50</v>
      </c>
      <c r="I13" s="22">
        <f t="shared" si="1"/>
        <v>6201</v>
      </c>
      <c r="J13" s="23">
        <f t="shared" si="2"/>
        <v>7.4726495726495719</v>
      </c>
      <c r="K13" s="23">
        <f t="shared" si="3"/>
        <v>46337.899999999994</v>
      </c>
      <c r="L13" s="24" t="s">
        <v>9</v>
      </c>
    </row>
    <row r="14" spans="1:18" thickBot="1" x14ac:dyDescent="0.3">
      <c r="A14" s="19">
        <v>46517</v>
      </c>
      <c r="B14" s="30">
        <v>16500</v>
      </c>
      <c r="C14" s="21">
        <v>0</v>
      </c>
      <c r="D14" s="20">
        <v>0</v>
      </c>
      <c r="E14" s="25">
        <v>1428</v>
      </c>
      <c r="F14" s="20">
        <v>7</v>
      </c>
      <c r="G14" s="20">
        <v>0</v>
      </c>
      <c r="H14" s="20">
        <v>50</v>
      </c>
      <c r="I14" s="22">
        <f t="shared" si="1"/>
        <v>7629</v>
      </c>
      <c r="J14" s="23">
        <f t="shared" si="2"/>
        <v>7.3776248525363739</v>
      </c>
      <c r="K14" s="23">
        <f t="shared" si="3"/>
        <v>56283.899999999994</v>
      </c>
      <c r="L14" s="24" t="s">
        <v>9</v>
      </c>
      <c r="O14" s="3"/>
    </row>
    <row r="15" spans="1:18" thickBot="1" x14ac:dyDescent="0.3">
      <c r="A15" s="19">
        <v>46548</v>
      </c>
      <c r="B15" s="30">
        <v>16500</v>
      </c>
      <c r="C15" s="21">
        <v>0</v>
      </c>
      <c r="D15" s="20">
        <v>0</v>
      </c>
      <c r="E15" s="25">
        <v>1428</v>
      </c>
      <c r="F15" s="20">
        <v>7</v>
      </c>
      <c r="G15" s="20">
        <v>0</v>
      </c>
      <c r="H15" s="20">
        <v>50</v>
      </c>
      <c r="I15" s="22">
        <f t="shared" si="1"/>
        <v>9057</v>
      </c>
      <c r="J15" s="23">
        <f t="shared" si="2"/>
        <v>7.3125648669537364</v>
      </c>
      <c r="K15" s="23">
        <f t="shared" si="3"/>
        <v>66229.899999999994</v>
      </c>
      <c r="L15" s="24" t="s">
        <v>9</v>
      </c>
      <c r="O15" s="4"/>
    </row>
    <row r="16" spans="1:18" thickBot="1" x14ac:dyDescent="0.3">
      <c r="A16" s="19">
        <v>46578</v>
      </c>
      <c r="B16" s="30"/>
      <c r="C16" s="21"/>
      <c r="D16" s="20"/>
      <c r="E16" s="25"/>
      <c r="F16" s="20"/>
      <c r="G16" s="20"/>
      <c r="H16" s="20"/>
      <c r="I16" s="22"/>
      <c r="J16" s="23"/>
      <c r="K16" s="23"/>
      <c r="O16" s="4"/>
    </row>
    <row r="17" spans="1:16" thickBot="1" x14ac:dyDescent="0.3">
      <c r="A17" s="19">
        <v>46609</v>
      </c>
      <c r="B17" s="30"/>
      <c r="C17" s="21"/>
      <c r="D17" s="20"/>
      <c r="E17" s="25"/>
      <c r="F17" s="20"/>
      <c r="G17" s="20"/>
      <c r="H17" s="20"/>
      <c r="I17" s="22"/>
      <c r="J17" s="23"/>
      <c r="K17" s="23"/>
      <c r="N17" s="11"/>
      <c r="P17" s="5"/>
    </row>
    <row r="18" spans="1:16" thickBot="1" x14ac:dyDescent="0.3">
      <c r="A18" s="19">
        <v>46640</v>
      </c>
      <c r="B18" s="30"/>
      <c r="C18" s="21"/>
      <c r="D18" s="20"/>
      <c r="E18" s="25"/>
      <c r="F18" s="20"/>
      <c r="G18" s="20"/>
      <c r="H18" s="20"/>
      <c r="I18" s="22"/>
      <c r="J18" s="23"/>
      <c r="K18" s="23"/>
      <c r="O18" s="6"/>
    </row>
    <row r="19" spans="1:16" thickBot="1" x14ac:dyDescent="0.3">
      <c r="A19" s="19">
        <v>46670</v>
      </c>
      <c r="B19" s="30"/>
      <c r="C19" s="21"/>
      <c r="D19" s="20"/>
      <c r="E19" s="25"/>
      <c r="F19" s="20"/>
      <c r="G19" s="20"/>
      <c r="H19" s="20"/>
      <c r="I19" s="22"/>
      <c r="J19" s="23"/>
      <c r="K19" s="23"/>
      <c r="O19" s="7"/>
    </row>
    <row r="20" spans="1:16" thickBot="1" x14ac:dyDescent="0.3">
      <c r="A20" s="19">
        <v>46701</v>
      </c>
      <c r="B20" s="30"/>
      <c r="C20" s="21"/>
      <c r="D20" s="20"/>
      <c r="E20" s="25"/>
      <c r="F20" s="20"/>
      <c r="G20" s="20"/>
      <c r="H20" s="20"/>
      <c r="I20" s="22"/>
      <c r="J20" s="23"/>
      <c r="K20" s="23"/>
    </row>
    <row r="21" spans="1:16" thickBot="1" x14ac:dyDescent="0.3">
      <c r="A21" s="19">
        <v>46731</v>
      </c>
      <c r="B21" s="30"/>
      <c r="C21" s="21"/>
      <c r="D21" s="20"/>
      <c r="E21" s="25"/>
      <c r="F21" s="20"/>
      <c r="G21" s="20"/>
      <c r="H21" s="20"/>
      <c r="I21" s="22"/>
      <c r="J21" s="23"/>
      <c r="K21" s="23"/>
    </row>
    <row r="22" spans="1:16" thickBot="1" x14ac:dyDescent="0.3">
      <c r="A22" s="19">
        <v>46762</v>
      </c>
      <c r="B22" s="30"/>
      <c r="C22" s="21"/>
      <c r="D22" s="20"/>
      <c r="E22" s="25"/>
      <c r="F22" s="20"/>
      <c r="G22" s="20"/>
      <c r="H22" s="20"/>
      <c r="I22" s="22"/>
      <c r="J22" s="23"/>
      <c r="K22" s="23"/>
    </row>
    <row r="23" spans="1:16" thickBot="1" x14ac:dyDescent="0.3">
      <c r="A23" s="19">
        <v>46793</v>
      </c>
      <c r="B23" s="30"/>
      <c r="C23" s="21"/>
      <c r="D23" s="20"/>
      <c r="E23" s="25"/>
      <c r="F23" s="20"/>
      <c r="G23" s="20"/>
      <c r="H23" s="20"/>
      <c r="I23" s="22"/>
      <c r="J23" s="23"/>
      <c r="K23" s="23"/>
    </row>
    <row r="24" spans="1:16" thickBot="1" x14ac:dyDescent="0.3">
      <c r="A24" s="19">
        <v>46822</v>
      </c>
      <c r="B24" s="30"/>
      <c r="C24" s="21"/>
      <c r="D24" s="20"/>
      <c r="E24" s="25"/>
      <c r="F24" s="20"/>
      <c r="G24" s="20"/>
      <c r="H24" s="20"/>
      <c r="I24" s="22"/>
      <c r="J24" s="23"/>
      <c r="K24" s="23"/>
    </row>
    <row r="25" spans="1:16" thickBot="1" x14ac:dyDescent="0.3">
      <c r="A25" s="19">
        <v>46853</v>
      </c>
      <c r="B25" s="30"/>
      <c r="C25" s="21"/>
      <c r="D25" s="20"/>
      <c r="E25" s="25"/>
      <c r="F25" s="20"/>
      <c r="G25" s="20"/>
      <c r="H25" s="20"/>
      <c r="I25" s="22"/>
      <c r="J25" s="23"/>
      <c r="K25" s="23"/>
    </row>
    <row r="26" spans="1:16" thickBot="1" x14ac:dyDescent="0.3">
      <c r="A26" s="19">
        <v>46883</v>
      </c>
      <c r="B26" s="30"/>
      <c r="C26" s="21"/>
      <c r="D26" s="20"/>
      <c r="E26" s="25"/>
      <c r="F26" s="20"/>
      <c r="G26" s="20"/>
      <c r="H26" s="20"/>
      <c r="I26" s="22"/>
      <c r="J26" s="23"/>
      <c r="K26" s="23"/>
    </row>
    <row r="27" spans="1:16" thickBot="1" x14ac:dyDescent="0.3">
      <c r="A27" s="19">
        <v>46914</v>
      </c>
      <c r="B27" s="30"/>
      <c r="C27" s="21"/>
      <c r="D27" s="20"/>
      <c r="E27" s="25"/>
      <c r="F27" s="20"/>
      <c r="G27" s="20"/>
      <c r="H27" s="20"/>
      <c r="I27" s="22"/>
      <c r="J27" s="23"/>
      <c r="K27" s="23"/>
    </row>
    <row r="28" spans="1:16" thickBot="1" x14ac:dyDescent="0.3">
      <c r="A28" s="19">
        <v>46944</v>
      </c>
      <c r="B28" s="30"/>
      <c r="C28" s="21"/>
      <c r="D28" s="20"/>
      <c r="E28" s="25"/>
      <c r="F28" s="20"/>
      <c r="G28" s="20"/>
      <c r="H28" s="20"/>
      <c r="I28" s="22"/>
      <c r="J28" s="23"/>
      <c r="K28" s="23"/>
    </row>
    <row r="29" spans="1:16" thickBot="1" x14ac:dyDescent="0.3">
      <c r="A29" s="19">
        <v>46975</v>
      </c>
      <c r="B29" s="30"/>
      <c r="C29" s="20"/>
      <c r="D29" s="20"/>
      <c r="E29" s="25"/>
      <c r="F29" s="20"/>
      <c r="G29" s="20"/>
      <c r="H29" s="20"/>
      <c r="I29" s="22"/>
      <c r="J29" s="23"/>
      <c r="K29" s="23"/>
    </row>
    <row r="30" spans="1:16" thickBot="1" x14ac:dyDescent="0.3">
      <c r="A30" s="19">
        <v>47006</v>
      </c>
      <c r="B30" s="30"/>
      <c r="C30" s="20"/>
      <c r="D30" s="20"/>
      <c r="E30" s="25"/>
      <c r="F30" s="20"/>
      <c r="G30" s="20"/>
      <c r="H30" s="20"/>
      <c r="I30" s="22"/>
      <c r="J30" s="23"/>
      <c r="K30" s="23"/>
    </row>
    <row r="31" spans="1:16" thickBot="1" x14ac:dyDescent="0.3">
      <c r="A31" s="19"/>
      <c r="B31" s="30"/>
      <c r="C31" s="20"/>
      <c r="D31" s="20"/>
      <c r="E31" s="25"/>
      <c r="F31" s="20"/>
      <c r="G31" s="20"/>
      <c r="H31" s="20"/>
      <c r="I31" s="22"/>
      <c r="J31" s="23"/>
      <c r="K31" s="23"/>
    </row>
    <row r="32" spans="1:16" thickBot="1" x14ac:dyDescent="0.3">
      <c r="A32" s="19"/>
      <c r="B32" s="30"/>
      <c r="C32" s="20"/>
      <c r="D32" s="20"/>
      <c r="E32" s="25"/>
      <c r="F32" s="20"/>
      <c r="G32" s="20"/>
      <c r="H32" s="20"/>
      <c r="I32" s="22"/>
      <c r="J32" s="23"/>
      <c r="K32" s="23"/>
    </row>
    <row r="33" spans="1:11" thickBot="1" x14ac:dyDescent="0.3">
      <c r="A33" s="19"/>
      <c r="B33" s="30"/>
      <c r="C33" s="20"/>
      <c r="D33" s="20"/>
      <c r="E33" s="25"/>
      <c r="F33" s="20"/>
      <c r="G33" s="20"/>
      <c r="H33" s="20"/>
      <c r="I33" s="22"/>
      <c r="J33" s="23"/>
      <c r="K33" s="23"/>
    </row>
    <row r="34" spans="1:11" thickBot="1" x14ac:dyDescent="0.3">
      <c r="A34" s="19"/>
      <c r="B34" s="30"/>
      <c r="C34" s="20"/>
      <c r="D34" s="20"/>
      <c r="E34" s="25"/>
      <c r="F34" s="20"/>
      <c r="G34" s="20"/>
      <c r="H34" s="20"/>
      <c r="I34" s="22"/>
      <c r="J34" s="23"/>
      <c r="K34" s="23"/>
    </row>
    <row r="35" spans="1:11" thickBot="1" x14ac:dyDescent="0.3">
      <c r="A35" s="19"/>
      <c r="B35" s="30"/>
      <c r="C35" s="20"/>
      <c r="D35" s="20"/>
      <c r="E35" s="25"/>
      <c r="F35" s="20"/>
      <c r="G35" s="20"/>
      <c r="H35" s="20"/>
      <c r="I35" s="22"/>
      <c r="J35" s="23"/>
      <c r="K35" s="23"/>
    </row>
    <row r="36" spans="1:11" thickBot="1" x14ac:dyDescent="0.3">
      <c r="A36" s="19"/>
      <c r="B36" s="30"/>
      <c r="C36" s="20"/>
      <c r="D36" s="20"/>
      <c r="E36" s="25"/>
      <c r="F36" s="20"/>
      <c r="G36" s="20"/>
      <c r="H36" s="20"/>
      <c r="I36" s="22"/>
      <c r="J36" s="23"/>
      <c r="K36" s="23"/>
    </row>
    <row r="37" spans="1:11" thickBot="1" x14ac:dyDescent="0.3">
      <c r="A37" s="19"/>
      <c r="B37" s="30"/>
      <c r="C37" s="20"/>
      <c r="D37" s="20"/>
      <c r="E37" s="25"/>
      <c r="F37" s="20"/>
      <c r="G37" s="20"/>
      <c r="H37" s="20"/>
      <c r="I37" s="22"/>
      <c r="J37" s="23"/>
      <c r="K37" s="23"/>
    </row>
    <row r="38" spans="1:11" thickBot="1" x14ac:dyDescent="0.3">
      <c r="A38" s="19"/>
      <c r="B38" s="30"/>
      <c r="C38" s="20"/>
      <c r="D38" s="20"/>
      <c r="E38" s="25"/>
      <c r="F38" s="20"/>
      <c r="G38" s="20"/>
      <c r="H38" s="20"/>
      <c r="I38" s="22"/>
      <c r="J38" s="23"/>
      <c r="K38" s="23"/>
    </row>
    <row r="39" spans="1:11" thickBot="1" x14ac:dyDescent="0.3">
      <c r="A39" s="19"/>
      <c r="B39" s="30"/>
      <c r="C39" s="20"/>
      <c r="D39" s="20"/>
      <c r="E39" s="25"/>
      <c r="F39" s="20"/>
      <c r="G39" s="20"/>
      <c r="H39" s="20"/>
      <c r="I39" s="22"/>
      <c r="J39" s="23"/>
      <c r="K39" s="23"/>
    </row>
    <row r="40" spans="1:11" thickBot="1" x14ac:dyDescent="0.3">
      <c r="A40" s="19"/>
      <c r="B40" s="30"/>
      <c r="C40" s="20"/>
      <c r="D40" s="20"/>
      <c r="E40" s="25"/>
      <c r="F40" s="20"/>
      <c r="G40" s="20"/>
      <c r="H40" s="20"/>
      <c r="I40" s="22"/>
      <c r="J40" s="23"/>
      <c r="K40" s="23"/>
    </row>
    <row r="41" spans="1:11" thickBot="1" x14ac:dyDescent="0.3">
      <c r="A41" s="19"/>
      <c r="B41" s="30"/>
      <c r="C41" s="20"/>
      <c r="D41" s="20"/>
      <c r="E41" s="25"/>
      <c r="F41" s="20"/>
      <c r="G41" s="20"/>
      <c r="H41" s="20"/>
      <c r="I41" s="22"/>
      <c r="J41" s="23"/>
      <c r="K41" s="23"/>
    </row>
    <row r="42" spans="1:11" thickBot="1" x14ac:dyDescent="0.3">
      <c r="A42" s="19"/>
      <c r="B42" s="30"/>
      <c r="C42" s="20"/>
      <c r="D42" s="20"/>
      <c r="E42" s="25"/>
      <c r="F42" s="20"/>
      <c r="G42" s="20"/>
      <c r="H42" s="20"/>
      <c r="I42" s="22"/>
      <c r="J42" s="23"/>
      <c r="K42" s="23"/>
    </row>
    <row r="43" spans="1:11" thickBot="1" x14ac:dyDescent="0.3">
      <c r="A43" s="19"/>
      <c r="B43" s="30"/>
      <c r="C43" s="20"/>
      <c r="D43" s="20"/>
      <c r="E43" s="25"/>
      <c r="F43" s="20"/>
      <c r="G43" s="20"/>
      <c r="H43" s="20"/>
      <c r="I43" s="22"/>
      <c r="J43" s="23"/>
      <c r="K43" s="23"/>
    </row>
    <row r="44" spans="1:11" thickBot="1" x14ac:dyDescent="0.3">
      <c r="A44" s="19"/>
      <c r="B44" s="30"/>
      <c r="C44" s="20"/>
      <c r="D44" s="20"/>
      <c r="E44" s="25"/>
      <c r="F44" s="20"/>
      <c r="G44" s="20"/>
      <c r="H44" s="20"/>
      <c r="I44" s="22"/>
      <c r="J44" s="23"/>
      <c r="K44" s="23"/>
    </row>
    <row r="45" spans="1:11" thickBot="1" x14ac:dyDescent="0.3">
      <c r="A45" s="19"/>
      <c r="B45" s="30"/>
      <c r="C45" s="20"/>
      <c r="D45" s="20"/>
      <c r="E45" s="25"/>
      <c r="F45" s="20"/>
      <c r="G45" s="20"/>
      <c r="H45" s="20"/>
      <c r="I45" s="22"/>
      <c r="J45" s="23"/>
      <c r="K45" s="23"/>
    </row>
    <row r="46" spans="1:11" thickBot="1" x14ac:dyDescent="0.3">
      <c r="A46" s="19"/>
      <c r="B46" s="30"/>
      <c r="C46" s="20"/>
      <c r="D46" s="20"/>
      <c r="E46" s="25"/>
      <c r="F46" s="20"/>
      <c r="G46" s="20"/>
      <c r="H46" s="20"/>
      <c r="I46" s="22"/>
      <c r="J46" s="23"/>
      <c r="K46" s="23"/>
    </row>
    <row r="47" spans="1:11" thickBot="1" x14ac:dyDescent="0.3">
      <c r="A47" s="19"/>
      <c r="B47" s="30"/>
      <c r="C47" s="20"/>
      <c r="D47" s="20"/>
      <c r="E47" s="25"/>
      <c r="F47" s="20"/>
      <c r="G47" s="20"/>
      <c r="H47" s="20"/>
      <c r="I47" s="22"/>
      <c r="J47" s="23"/>
      <c r="K47" s="23"/>
    </row>
    <row r="48" spans="1:11" thickBot="1" x14ac:dyDescent="0.3">
      <c r="A48" s="19"/>
      <c r="B48" s="30"/>
      <c r="C48" s="20"/>
      <c r="D48" s="20"/>
      <c r="E48" s="25"/>
      <c r="F48" s="20"/>
      <c r="G48" s="20"/>
      <c r="H48" s="20"/>
      <c r="I48" s="22"/>
      <c r="J48" s="23"/>
      <c r="K48" s="23"/>
    </row>
    <row r="49" spans="1:11" thickBot="1" x14ac:dyDescent="0.3">
      <c r="A49" s="19"/>
      <c r="B49" s="30"/>
      <c r="C49" s="20"/>
      <c r="D49" s="20"/>
      <c r="E49" s="25"/>
      <c r="F49" s="20"/>
      <c r="G49" s="20"/>
      <c r="H49" s="20"/>
      <c r="I49" s="22"/>
      <c r="J49" s="23"/>
      <c r="K49" s="23"/>
    </row>
    <row r="50" spans="1:11" thickBot="1" x14ac:dyDescent="0.3">
      <c r="A50" s="19"/>
      <c r="B50" s="30"/>
      <c r="C50" s="20"/>
      <c r="D50" s="20"/>
      <c r="E50" s="25"/>
      <c r="F50" s="20"/>
      <c r="G50" s="20"/>
      <c r="H50" s="20"/>
      <c r="I50" s="22"/>
      <c r="J50" s="23"/>
      <c r="K50" s="23"/>
    </row>
    <row r="51" spans="1:11" thickBot="1" x14ac:dyDescent="0.3">
      <c r="A51" s="19"/>
      <c r="B51" s="30"/>
      <c r="C51" s="20"/>
      <c r="D51" s="20"/>
      <c r="E51" s="25"/>
      <c r="F51" s="20"/>
      <c r="G51" s="20"/>
      <c r="H51" s="20"/>
      <c r="I51" s="22"/>
      <c r="J51" s="23"/>
      <c r="K51" s="23"/>
    </row>
    <row r="52" spans="1:11" thickBot="1" x14ac:dyDescent="0.3">
      <c r="A52" s="19"/>
      <c r="B52" s="30"/>
      <c r="C52" s="20"/>
      <c r="D52" s="20"/>
      <c r="E52" s="25"/>
      <c r="F52" s="20"/>
      <c r="G52" s="20"/>
      <c r="H52" s="20"/>
      <c r="I52" s="22"/>
      <c r="J52" s="23"/>
      <c r="K52" s="23"/>
    </row>
    <row r="53" spans="1:11" thickBot="1" x14ac:dyDescent="0.3">
      <c r="A53" s="19"/>
      <c r="B53" s="30"/>
      <c r="C53" s="20"/>
      <c r="D53" s="20"/>
      <c r="E53" s="25"/>
      <c r="F53" s="20"/>
      <c r="G53" s="20"/>
      <c r="H53" s="20"/>
      <c r="I53" s="22"/>
      <c r="J53" s="23"/>
      <c r="K53" s="23"/>
    </row>
    <row r="54" spans="1:11" thickBot="1" x14ac:dyDescent="0.3">
      <c r="A54" s="19"/>
      <c r="B54" s="30"/>
      <c r="C54" s="20"/>
      <c r="D54" s="20"/>
      <c r="E54" s="25"/>
      <c r="F54" s="20"/>
      <c r="G54" s="20"/>
      <c r="H54" s="20"/>
      <c r="I54" s="22"/>
      <c r="J54" s="23"/>
      <c r="K54" s="23"/>
    </row>
    <row r="55" spans="1:11" thickBot="1" x14ac:dyDescent="0.3">
      <c r="A55" s="19"/>
      <c r="B55" s="30"/>
      <c r="C55" s="20"/>
      <c r="D55" s="20"/>
      <c r="E55" s="25"/>
      <c r="F55" s="20"/>
      <c r="G55" s="20"/>
      <c r="H55" s="20"/>
      <c r="I55" s="22"/>
      <c r="J55" s="23"/>
      <c r="K55" s="23"/>
    </row>
    <row r="56" spans="1:11" thickBot="1" x14ac:dyDescent="0.3">
      <c r="A56" s="19"/>
      <c r="B56" s="30"/>
      <c r="C56" s="20"/>
      <c r="D56" s="20"/>
      <c r="E56" s="25"/>
      <c r="F56" s="20"/>
      <c r="G56" s="20"/>
      <c r="H56" s="20"/>
      <c r="I56" s="22"/>
      <c r="J56" s="23"/>
      <c r="K56" s="23"/>
    </row>
    <row r="57" spans="1:11" thickBot="1" x14ac:dyDescent="0.3">
      <c r="A57" s="19"/>
      <c r="B57" s="30"/>
      <c r="C57" s="20"/>
      <c r="D57" s="20"/>
      <c r="E57" s="25"/>
      <c r="F57" s="20"/>
      <c r="G57" s="20"/>
      <c r="H57" s="20"/>
      <c r="I57" s="22"/>
      <c r="J57" s="23"/>
      <c r="K57" s="23"/>
    </row>
    <row r="58" spans="1:11" thickBot="1" x14ac:dyDescent="0.3">
      <c r="A58" s="19"/>
      <c r="B58" s="30"/>
      <c r="C58" s="20"/>
      <c r="D58" s="20"/>
      <c r="E58" s="25"/>
      <c r="F58" s="20"/>
      <c r="G58" s="20"/>
      <c r="H58" s="20"/>
      <c r="I58" s="22"/>
      <c r="J58" s="23"/>
      <c r="K58" s="23"/>
    </row>
    <row r="59" spans="1:11" thickBot="1" x14ac:dyDescent="0.3">
      <c r="A59" s="19"/>
      <c r="B59" s="30"/>
      <c r="C59" s="20"/>
      <c r="D59" s="20"/>
      <c r="E59" s="25"/>
      <c r="F59" s="20"/>
      <c r="G59" s="20"/>
      <c r="H59" s="20"/>
      <c r="I59" s="22"/>
      <c r="J59" s="23"/>
      <c r="K59" s="23"/>
    </row>
    <row r="60" spans="1:11" thickBot="1" x14ac:dyDescent="0.3">
      <c r="A60" s="19"/>
      <c r="B60" s="30"/>
      <c r="C60" s="20"/>
      <c r="D60" s="20"/>
      <c r="E60" s="25"/>
      <c r="F60" s="20"/>
      <c r="G60" s="20"/>
      <c r="H60" s="20"/>
      <c r="I60" s="22"/>
      <c r="J60" s="23"/>
      <c r="K60" s="23"/>
    </row>
    <row r="61" spans="1:11" thickBot="1" x14ac:dyDescent="0.3">
      <c r="A61" s="19"/>
      <c r="B61" s="30"/>
      <c r="C61" s="20"/>
      <c r="D61" s="20"/>
      <c r="E61" s="25"/>
      <c r="F61" s="20"/>
      <c r="G61" s="20"/>
      <c r="H61" s="20"/>
      <c r="I61" s="22"/>
      <c r="J61" s="23"/>
      <c r="K61" s="23"/>
    </row>
    <row r="62" spans="1:11" thickBot="1" x14ac:dyDescent="0.3">
      <c r="A62" s="19"/>
      <c r="B62" s="30"/>
      <c r="C62" s="20"/>
      <c r="D62" s="20"/>
      <c r="E62" s="25"/>
      <c r="F62" s="20"/>
      <c r="G62" s="20"/>
      <c r="H62" s="20"/>
      <c r="I62" s="22"/>
      <c r="J62" s="23"/>
      <c r="K62" s="23"/>
    </row>
    <row r="63" spans="1:11" thickBot="1" x14ac:dyDescent="0.3">
      <c r="A63" s="19"/>
      <c r="B63" s="30"/>
      <c r="C63" s="20"/>
      <c r="D63" s="20"/>
      <c r="E63" s="25"/>
      <c r="F63" s="20"/>
      <c r="G63" s="20"/>
      <c r="H63" s="20"/>
      <c r="I63" s="22"/>
      <c r="J63" s="23"/>
      <c r="K63" s="23"/>
    </row>
    <row r="64" spans="1:11" thickBot="1" x14ac:dyDescent="0.3">
      <c r="A64" s="19"/>
      <c r="B64" s="30"/>
      <c r="C64" s="20"/>
      <c r="D64" s="20"/>
      <c r="E64" s="25"/>
      <c r="F64" s="20"/>
      <c r="G64" s="20"/>
      <c r="H64" s="20"/>
      <c r="I64" s="22"/>
      <c r="J64" s="23"/>
      <c r="K64" s="23"/>
    </row>
    <row r="65" spans="1:11" thickBot="1" x14ac:dyDescent="0.3">
      <c r="A65" s="19"/>
      <c r="B65" s="30"/>
      <c r="C65" s="20"/>
      <c r="D65" s="20"/>
      <c r="E65" s="25"/>
      <c r="F65" s="20"/>
      <c r="G65" s="20"/>
      <c r="H65" s="20"/>
      <c r="I65" s="22"/>
      <c r="J65" s="23"/>
      <c r="K65" s="23"/>
    </row>
    <row r="66" spans="1:11" thickBot="1" x14ac:dyDescent="0.3">
      <c r="A66" s="19"/>
      <c r="B66" s="30"/>
      <c r="C66" s="20"/>
      <c r="D66" s="20"/>
      <c r="E66" s="25"/>
      <c r="F66" s="20"/>
      <c r="G66" s="20"/>
      <c r="H66" s="20"/>
      <c r="I66" s="22"/>
      <c r="J66" s="23"/>
      <c r="K66" s="23"/>
    </row>
    <row r="67" spans="1:11" thickBot="1" x14ac:dyDescent="0.3">
      <c r="A67" s="19"/>
      <c r="B67" s="30"/>
      <c r="C67" s="20"/>
      <c r="D67" s="20"/>
      <c r="E67" s="25"/>
      <c r="F67" s="20"/>
      <c r="G67" s="20"/>
      <c r="H67" s="20"/>
      <c r="I67" s="22"/>
      <c r="J67" s="23"/>
      <c r="K67" s="23"/>
    </row>
    <row r="68" spans="1:11" thickBot="1" x14ac:dyDescent="0.3">
      <c r="A68" s="19"/>
      <c r="B68" s="30"/>
      <c r="C68" s="20"/>
      <c r="D68" s="20"/>
      <c r="E68" s="25"/>
      <c r="F68" s="20"/>
      <c r="G68" s="20"/>
      <c r="H68" s="20"/>
      <c r="I68" s="22"/>
      <c r="J68" s="23"/>
      <c r="K68" s="23"/>
    </row>
    <row r="69" spans="1:11" thickBot="1" x14ac:dyDescent="0.3">
      <c r="A69" s="19"/>
      <c r="B69" s="30"/>
      <c r="C69" s="20"/>
      <c r="D69" s="20"/>
      <c r="E69" s="25"/>
      <c r="F69" s="20"/>
      <c r="G69" s="20"/>
      <c r="H69" s="20"/>
      <c r="I69" s="22"/>
      <c r="J69" s="23"/>
      <c r="K69" s="23"/>
    </row>
    <row r="70" spans="1:11" thickBot="1" x14ac:dyDescent="0.3">
      <c r="A70" s="19"/>
      <c r="B70" s="30"/>
      <c r="C70" s="20"/>
      <c r="D70" s="20"/>
      <c r="E70" s="25"/>
      <c r="F70" s="20"/>
      <c r="G70" s="20"/>
      <c r="H70" s="20"/>
      <c r="I70" s="22"/>
      <c r="J70" s="23"/>
      <c r="K70" s="23"/>
    </row>
    <row r="71" spans="1:11" thickBot="1" x14ac:dyDescent="0.3">
      <c r="A71" s="19"/>
      <c r="B71" s="30"/>
      <c r="C71" s="20"/>
      <c r="D71" s="20"/>
      <c r="E71" s="25"/>
      <c r="F71" s="20"/>
      <c r="G71" s="20"/>
      <c r="H71" s="20"/>
      <c r="I71" s="22"/>
      <c r="J71" s="23"/>
      <c r="K71" s="23"/>
    </row>
    <row r="72" spans="1:11" thickBot="1" x14ac:dyDescent="0.3">
      <c r="A72" s="19"/>
      <c r="B72" s="30"/>
      <c r="C72" s="20"/>
      <c r="D72" s="20"/>
      <c r="E72" s="25"/>
      <c r="F72" s="20"/>
      <c r="G72" s="20"/>
      <c r="H72" s="20"/>
      <c r="I72" s="22"/>
      <c r="J72" s="23"/>
      <c r="K72" s="23"/>
    </row>
    <row r="73" spans="1:11" thickBot="1" x14ac:dyDescent="0.3">
      <c r="A73" s="19"/>
      <c r="B73" s="30"/>
      <c r="C73" s="20"/>
      <c r="D73" s="20"/>
      <c r="E73" s="25"/>
      <c r="F73" s="20"/>
      <c r="G73" s="20"/>
      <c r="H73" s="20"/>
      <c r="I73" s="22"/>
      <c r="J73" s="23"/>
      <c r="K73" s="23"/>
    </row>
    <row r="74" spans="1:11" thickBot="1" x14ac:dyDescent="0.3">
      <c r="A74" s="19"/>
      <c r="B74" s="30"/>
      <c r="C74" s="20"/>
      <c r="D74" s="20"/>
      <c r="E74" s="25"/>
      <c r="F74" s="20"/>
      <c r="G74" s="20"/>
      <c r="H74" s="20"/>
      <c r="I74" s="22"/>
      <c r="J74" s="23"/>
      <c r="K74" s="23"/>
    </row>
    <row r="75" spans="1:11" thickBot="1" x14ac:dyDescent="0.3">
      <c r="A75" s="19"/>
      <c r="B75" s="30"/>
      <c r="C75" s="20"/>
      <c r="D75" s="20"/>
      <c r="E75" s="25"/>
      <c r="F75" s="20"/>
      <c r="G75" s="20"/>
      <c r="H75" s="20"/>
      <c r="I75" s="22"/>
      <c r="J75" s="23"/>
      <c r="K75" s="23"/>
    </row>
    <row r="76" spans="1:11" thickBot="1" x14ac:dyDescent="0.3">
      <c r="A76" s="19"/>
      <c r="B76" s="30"/>
      <c r="C76" s="20"/>
      <c r="D76" s="20"/>
      <c r="E76" s="25"/>
      <c r="F76" s="20"/>
      <c r="G76" s="20"/>
      <c r="H76" s="20"/>
      <c r="I76" s="22"/>
      <c r="J76" s="23"/>
      <c r="K76" s="23"/>
    </row>
    <row r="77" spans="1:11" thickBot="1" x14ac:dyDescent="0.3">
      <c r="A77" s="19"/>
      <c r="B77" s="30"/>
      <c r="C77" s="20"/>
      <c r="D77" s="20"/>
      <c r="E77" s="25"/>
      <c r="F77" s="20"/>
      <c r="G77" s="20"/>
      <c r="H77" s="20"/>
      <c r="I77" s="22"/>
      <c r="J77" s="23"/>
      <c r="K77" s="23"/>
    </row>
    <row r="78" spans="1:11" thickBot="1" x14ac:dyDescent="0.3">
      <c r="A78" s="19"/>
      <c r="B78" s="30"/>
      <c r="C78" s="20"/>
      <c r="D78" s="20"/>
      <c r="E78" s="25"/>
      <c r="F78" s="20"/>
      <c r="G78" s="20"/>
      <c r="H78" s="20"/>
      <c r="I78" s="22"/>
      <c r="J78" s="23"/>
      <c r="K78" s="23"/>
    </row>
    <row r="79" spans="1:11" thickBot="1" x14ac:dyDescent="0.3">
      <c r="A79" s="19"/>
      <c r="B79" s="30"/>
      <c r="C79" s="20"/>
      <c r="D79" s="20"/>
      <c r="E79" s="25"/>
      <c r="F79" s="20"/>
      <c r="G79" s="20"/>
      <c r="H79" s="20"/>
      <c r="I79" s="22"/>
      <c r="J79" s="23"/>
      <c r="K79" s="23"/>
    </row>
    <row r="80" spans="1:11" thickBot="1" x14ac:dyDescent="0.3">
      <c r="A80" s="19"/>
      <c r="B80" s="30"/>
      <c r="C80" s="20"/>
      <c r="D80" s="20"/>
      <c r="E80" s="25"/>
      <c r="F80" s="20"/>
      <c r="G80" s="20"/>
      <c r="H80" s="20"/>
      <c r="I80" s="22"/>
      <c r="J80" s="23"/>
      <c r="K80" s="23"/>
    </row>
    <row r="81" spans="1:11" thickBot="1" x14ac:dyDescent="0.3">
      <c r="A81" s="19"/>
      <c r="B81" s="30"/>
      <c r="C81" s="20"/>
      <c r="D81" s="20"/>
      <c r="E81" s="25"/>
      <c r="F81" s="20"/>
      <c r="G81" s="20"/>
      <c r="H81" s="20"/>
      <c r="I81" s="22"/>
      <c r="J81" s="23"/>
      <c r="K81" s="23"/>
    </row>
  </sheetData>
  <mergeCells count="16">
    <mergeCell ref="G4:H4"/>
    <mergeCell ref="B4:F4"/>
    <mergeCell ref="I4:K4"/>
    <mergeCell ref="A1:K1"/>
    <mergeCell ref="B2:H2"/>
    <mergeCell ref="I2:K2"/>
    <mergeCell ref="B3:H3"/>
    <mergeCell ref="A8:A9"/>
    <mergeCell ref="B8:K8"/>
    <mergeCell ref="B5:F5"/>
    <mergeCell ref="G5:H5"/>
    <mergeCell ref="B6:F6"/>
    <mergeCell ref="G6:H6"/>
    <mergeCell ref="B7:F7"/>
    <mergeCell ref="G7:H7"/>
    <mergeCell ref="I5:K5"/>
  </mergeCells>
  <phoneticPr fontId="3" type="noConversion"/>
  <conditionalFormatting sqref="B6:F6">
    <cfRule type="dataBar" priority="12">
      <dataBar>
        <cfvo type="num" val="0"/>
        <cfvo type="num" val="1"/>
        <color rgb="FFD6007B"/>
      </dataBar>
      <extLst>
        <ext xmlns:x14="http://schemas.microsoft.com/office/spreadsheetml/2009/9/main" uri="{B025F937-C7B1-47D3-B67F-A62EFF666E3E}">
          <x14:id>{5D7BEF26-75DB-4578-8194-557D27222C46}</x14:id>
        </ext>
      </extLst>
    </cfRule>
  </conditionalFormatting>
  <conditionalFormatting sqref="B3:H3">
    <cfRule type="dataBar" priority="11">
      <dataBar>
        <cfvo type="num" val="0"/>
        <cfvo type="num" val="1000000"/>
        <color rgb="FFD6007B"/>
      </dataBar>
      <extLst>
        <ext xmlns:x14="http://schemas.microsoft.com/office/spreadsheetml/2009/9/main" uri="{B025F937-C7B1-47D3-B67F-A62EFF666E3E}">
          <x14:id>{C4EEE1B0-2114-4BA1-91A8-EC4A2BFBEBD0}</x14:id>
        </ext>
      </extLst>
    </cfRule>
  </conditionalFormatting>
  <conditionalFormatting sqref="C10:C28">
    <cfRule type="cellIs" dxfId="9" priority="5" operator="lessThan">
      <formula>-0.1</formula>
    </cfRule>
    <cfRule type="cellIs" dxfId="8" priority="6" operator="lessThan">
      <formula>0</formula>
    </cfRule>
  </conditionalFormatting>
  <conditionalFormatting sqref="E10:E81">
    <cfRule type="cellIs" dxfId="7" priority="22" operator="lessThan">
      <formula>-0.1</formula>
    </cfRule>
    <cfRule type="cellIs" dxfId="6" priority="23" operator="lessThan">
      <formula>0</formula>
    </cfRule>
  </conditionalFormatting>
  <conditionalFormatting sqref="I2:I3 B2:D2">
    <cfRule type="dataBar" priority="13">
      <dataBar>
        <cfvo type="num" val="0"/>
        <cfvo type="num" val="1"/>
        <color rgb="FFD6007B"/>
      </dataBar>
      <extLst>
        <ext xmlns:x14="http://schemas.microsoft.com/office/spreadsheetml/2009/9/main" uri="{B025F937-C7B1-47D3-B67F-A62EFF666E3E}">
          <x14:id>{60E78494-B051-4130-BE4E-4C1980620393}</x14:id>
        </ext>
      </extLst>
    </cfRule>
  </conditionalFormatting>
  <conditionalFormatting sqref="L2">
    <cfRule type="expression" dxfId="5" priority="10">
      <formula>$B$3 &gt;= 100000</formula>
    </cfRule>
  </conditionalFormatting>
  <conditionalFormatting sqref="L3">
    <cfRule type="expression" dxfId="4" priority="2">
      <formula>$B$3 &gt;= 250000</formula>
    </cfRule>
  </conditionalFormatting>
  <conditionalFormatting sqref="L4">
    <cfRule type="expression" dxfId="3" priority="1">
      <formula>$B$3 &gt;= 400000</formula>
    </cfRule>
  </conditionalFormatting>
  <conditionalFormatting sqref="L5">
    <cfRule type="expression" dxfId="2" priority="8">
      <formula>$B$3 &gt;= 600000</formula>
    </cfRule>
  </conditionalFormatting>
  <conditionalFormatting sqref="L6">
    <cfRule type="expression" dxfId="1" priority="3">
      <formula>$B$3 &gt;= 800000</formula>
    </cfRule>
  </conditionalFormatting>
  <conditionalFormatting sqref="L7">
    <cfRule type="expression" dxfId="0" priority="4">
      <formula>$B$3 &gt;= 1000000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7BEF26-75DB-4578-8194-557D27222C46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theme="1"/>
              <x14:negativeFillColor rgb="FFFF0000"/>
              <x14:negativeBorderColor rgb="FFFF0000"/>
              <x14:axisColor rgb="FF000000"/>
            </x14:dataBar>
          </x14:cfRule>
          <xm:sqref>B6:F6</xm:sqref>
        </x14:conditionalFormatting>
        <x14:conditionalFormatting xmlns:xm="http://schemas.microsoft.com/office/excel/2006/main">
          <x14:cfRule type="dataBar" id="{C4EEE1B0-2114-4BA1-91A8-EC4A2BFBEBD0}">
            <x14:dataBar minLength="0" maxLength="100" border="1" negativeBarBorderColorSameAsPositive="0">
              <x14:cfvo type="num">
                <xm:f>0</xm:f>
              </x14:cfvo>
              <x14:cfvo type="num">
                <xm:f>1000000</xm:f>
              </x14:cfvo>
              <x14:borderColor rgb="FFD6007B"/>
              <x14:negativeFillColor rgb="FFFF0000"/>
              <x14:negativeBorderColor rgb="FFFF0000"/>
              <x14:axisColor rgb="FF000000"/>
            </x14:dataBar>
          </x14:cfRule>
          <xm:sqref>B3:H3</xm:sqref>
        </x14:conditionalFormatting>
        <x14:conditionalFormatting xmlns:xm="http://schemas.microsoft.com/office/excel/2006/main">
          <x14:cfRule type="dataBar" id="{60E78494-B051-4130-BE4E-4C1980620393}">
            <x14:dataBar minLength="0" maxLength="100" border="1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I2:I3 B2:D2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</dc:creator>
  <cp:lastModifiedBy>Hon Li</cp:lastModifiedBy>
  <cp:lastPrinted>2026-06-09T17:37:27Z</cp:lastPrinted>
  <dcterms:created xsi:type="dcterms:W3CDTF">2021-11-02T05:22:45Z</dcterms:created>
  <dcterms:modified xsi:type="dcterms:W3CDTF">2026-08-30T10:21:20Z</dcterms:modified>
</cp:coreProperties>
</file>